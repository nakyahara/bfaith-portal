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workbookProtection lockStructure="true"/>
  <bookViews>
    <workbookView activeTab="0"/>
  </bookViews>
  <sheets>
    <sheet name="手順" r:id="rId3" sheetId="1"/>
    <sheet name="輸送箱の梱包情報" r:id="rId4" sheetId="2"/>
    <sheet name="Metadata" r:id="rId5" sheetId="3"/>
  </sheets>
</workbook>
</file>

<file path=xl/sharedStrings.xml><?xml version="1.0" encoding="utf-8"?>
<sst xmlns="http://schemas.openxmlformats.org/spreadsheetml/2006/main" count="75" uniqueCount="63">
  <si>
    <t>Excelファイルを使用して輸送箱内の商品情報をアップロードする方法</t>
  </si>
  <si>
    <t>ステップ1 – 輸送箱の合計数の確認</t>
  </si>
  <si>
    <t>Excelファイルの輸送箱の合計数フィールドには、各梱包グループの「Amazonへ納品」で入力した数が自動的に入力されます。この数はあくまで見積りであり、このファイルをアップロードする前であれば、最大10個まで増減できます。
各輸送箱は番号（輸送箱1、輸送箱2など）で識別され、納品プラン内の列に表示されます。輸送箱の合計数を更新すると、列の数が自動的に更新されます。</t>
  </si>
  <si>
    <t>ステップ2 – 輸送箱内の商品情報の入力</t>
  </si>
  <si>
    <t>梱包グループ内の各SKUは、納品プランの行に表示されます。輸送箱ごとに、梱包する各SKUの商品の数を入力します。輸送箱の数フィールドには、現在入力されている数が表示されます。入力された数が、この納品の発送予定数と一致するまで、フィールドの数値は赤色で表示されます。</t>
  </si>
  <si>
    <t>ステップ3 – 輸送箱の重量と寸法の入力</t>
  </si>
  <si>
    <t>梱包グループの輸送箱ごとに、重量と寸法を入力します</t>
  </si>
  <si>
    <t>ステップ4 – 保存してアップロード</t>
  </si>
  <si>
    <t>Excelスプレッドシートへの入力が完了したら、.xlsxファイルとしてセラーセントラルにアップロードできます</t>
  </si>
  <si>
    <t>この梱包グループの輸送箱の詳細を以下に入力してください。不明な点がある場合は、手順のシートを参照してください。</t>
  </si>
  <si>
    <t>梱包グループ：1</t>
  </si>
  <si>
    <t>pgb2303c25-1538-47ab-a11e-7ce152120af0</t>
  </si>
  <si>
    <t>SKUの合計：4（41個）</t>
  </si>
  <si>
    <t>輸送箱の合計数：</t>
  </si>
  <si>
    <t>SKU</t>
  </si>
  <si>
    <t xml:space="preserve">商品名 </t>
  </si>
  <si>
    <t>Id</t>
  </si>
  <si>
    <t>ASIN</t>
  </si>
  <si>
    <t>FNSKU</t>
  </si>
  <si>
    <t>コンディション</t>
  </si>
  <si>
    <t>梱包タイプ</t>
  </si>
  <si>
    <t>誰が商品の梱包準備をしますか？</t>
  </si>
  <si>
    <t>商品のラベル貼付は誰が行いますか？</t>
  </si>
  <si>
    <t>予定数量</t>
  </si>
  <si>
    <t>輸送箱の数</t>
  </si>
  <si>
    <t>1U-97G1-FCMT</t>
  </si>
  <si>
    <t>SMILE PET CLUB 小鳥の餌 ハーブ&amp;ボレー粉ミックス 1800g</t>
  </si>
  <si>
    <t>pk1a2ea006-5f77-46e9-be5a-bcf0d4c654b5</t>
  </si>
  <si>
    <t>B0CWV2ZNV9</t>
  </si>
  <si>
    <t>X0016SMDR3</t>
  </si>
  <si>
    <t>NewItem</t>
  </si>
  <si>
    <t>商品ラベル貼付</t>
  </si>
  <si>
    <t/>
  </si>
  <si>
    <t>出品者</t>
  </si>
  <si>
    <t>20170704X3024X4150</t>
  </si>
  <si>
    <t>天然ペプチドリップ だし&amp;栄養スープ 500gセット ×2個</t>
  </si>
  <si>
    <t>pk022b8375-fa86-479e-95c3-ae34e3324f9a</t>
  </si>
  <si>
    <t>B07TXW52H6</t>
  </si>
  <si>
    <t>X000L6OSZB</t>
  </si>
  <si>
    <t>20170822X648X1100</t>
  </si>
  <si>
    <t>ALLEX 錠剤カットはさみHAYASHI(誰でもらくらくタイプ)【日本製】</t>
  </si>
  <si>
    <t>pked435351-08fd-4c9c-ace2-2dc909a13643</t>
  </si>
  <si>
    <t>B009Z7QGWK</t>
  </si>
  <si>
    <t>X000LNF8QR</t>
  </si>
  <si>
    <t>20171010X3694X5000</t>
  </si>
  <si>
    <t>ジン (JIN) 動物用乳酸菌食品 1g×90包</t>
  </si>
  <si>
    <t>pk504d65c7-b12b-4f06-9ee9-e51dec5a8858</t>
  </si>
  <si>
    <t>B004OVFZ5G</t>
  </si>
  <si>
    <t>X000M4WY7V</t>
  </si>
  <si>
    <t>輸送箱の名前</t>
  </si>
  <si>
    <t>輸送箱の重量（kg）：</t>
  </si>
  <si>
    <t>輸送箱の幅（cm）：</t>
  </si>
  <si>
    <t>輸送箱の長さ（cm）：</t>
  </si>
  <si>
    <t>輸送箱の高さ（cm）：</t>
  </si>
  <si>
    <t>Locale</t>
  </si>
  <si>
    <t>ja_JP</t>
  </si>
  <si>
    <t>Weight unit</t>
  </si>
  <si>
    <t>kg</t>
  </si>
  <si>
    <t>Length unit</t>
  </si>
  <si>
    <t>cm</t>
  </si>
  <si>
    <t>Version</t>
  </si>
  <si>
    <t>1.1</t>
  </si>
  <si>
    <t>Number of packing sheets</t>
  </si>
</sst>
</file>

<file path=xl/styles.xml><?xml version="1.0" encoding="utf-8"?>
<styleSheet xmlns="http://schemas.openxmlformats.org/spreadsheetml/2006/main">
  <numFmts count="0"/>
  <fonts count="121">
    <font>
      <sz val="11.0"/>
      <color indexed="8"/>
      <name val="Calibri"/>
      <family val="2"/>
      <scheme val="minor"/>
    </font>
    <font>
      <name val="Calibri"/>
      <sz val="20.0"/>
    </font>
    <font>
      <name val="Calibri"/>
      <sz val="14.0"/>
      <b val="true"/>
    </font>
    <font>
      <name val="Calibri"/>
      <sz val="13.0"/>
    </font>
    <font>
      <name val="Calibri"/>
      <sz val="14.0"/>
      <b val="true"/>
    </font>
    <font>
      <name val="Calibri"/>
      <sz val="13.0"/>
    </font>
    <font>
      <name val="Calibri"/>
      <sz val="14.0"/>
      <b val="true"/>
    </font>
    <font>
      <name val="Calibri"/>
      <sz val="13.0"/>
    </font>
    <font>
      <name val="Calibri"/>
      <sz val="14.0"/>
      <b val="true"/>
    </font>
    <font>
      <name val="Calibri"/>
      <sz val="13.0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24.0"/>
    </font>
    <font>
      <name val="Calibri"/>
      <sz val="24.0"/>
    </font>
    <font>
      <name val="Calibri"/>
      <sz val="24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indexed="23"/>
      </patternFill>
    </fill>
  </fills>
  <borders count="21">
    <border>
      <left/>
      <right/>
      <top/>
      <bottom/>
      <diagonal/>
    </border>
    <border>
      <top style="thin"/>
    </border>
    <border>
      <top style="thin">
        <color indexed="63"/>
      </top>
    </border>
    <border>
      <left style="double"/>
      <top style="thin">
        <color indexed="63"/>
      </top>
    </border>
    <border>
      <left style="double">
        <color indexed="63"/>
      </left>
      <top style="thin">
        <color indexed="63"/>
      </top>
    </border>
    <border>
      <left style="double">
        <color indexed="63"/>
      </left>
      <top style="thin">
        <color indexed="63"/>
      </top>
      <bottom style="thin"/>
    </border>
    <border>
      <left style="double">
        <color indexed="63"/>
      </left>
      <top style="thin">
        <color indexed="63"/>
      </top>
      <bottom style="thin">
        <color indexed="63"/>
      </bottom>
    </border>
    <border>
      <left style="double">
        <color indexed="63"/>
      </left>
      <right style="double"/>
      <top style="thin">
        <color indexed="63"/>
      </top>
      <bottom style="thin">
        <color indexed="63"/>
      </bottom>
    </border>
    <border>
      <left style="double">
        <color indexed="63"/>
      </left>
      <right style="double">
        <color indexed="63"/>
      </right>
      <top style="thin">
        <color indexed="63"/>
      </top>
      <bottom style="thin">
        <color indexed="63"/>
      </bottom>
    </border>
    <border>
      <top style="double"/>
    </border>
    <border>
      <top style="double">
        <color indexed="63"/>
      </top>
    </border>
    <border>
      <left style="double"/>
      <top style="double">
        <color indexed="63"/>
      </top>
    </border>
    <border>
      <left style="double">
        <color indexed="63"/>
      </left>
      <top style="double">
        <color indexed="63"/>
      </top>
    </border>
    <border>
      <left style="double">
        <color indexed="63"/>
      </left>
      <top style="double">
        <color indexed="63"/>
      </top>
      <bottom style="thin"/>
    </border>
    <border>
      <left style="double">
        <color indexed="63"/>
      </left>
      <top style="double">
        <color indexed="63"/>
      </top>
      <bottom style="thin">
        <color indexed="63"/>
      </bottom>
    </border>
    <border>
      <left style="double">
        <color indexed="63"/>
      </left>
      <right style="double"/>
      <top style="double">
        <color indexed="63"/>
      </top>
      <bottom style="thin">
        <color indexed="6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thin">
        <color indexed="63"/>
      </bottom>
    </border>
    <border>
      <left style="double">
        <color indexed="63"/>
      </left>
      <top style="thin">
        <color indexed="63"/>
      </top>
      <bottom style="double"/>
    </border>
    <border>
      <left style="double">
        <color indexed="63"/>
      </left>
      <top style="thin">
        <color indexed="63"/>
      </top>
      <bottom style="double">
        <color indexed="63"/>
      </bottom>
    </border>
    <border>
      <left style="double">
        <color indexed="63"/>
      </left>
      <right style="double"/>
      <top style="thin">
        <color indexed="63"/>
      </top>
      <bottom style="double">
        <color indexed="63"/>
      </bottom>
    </border>
    <border>
      <left style="double">
        <color indexed="63"/>
      </left>
      <right style="double">
        <color indexed="63"/>
      </right>
      <top style="thin">
        <color indexed="63"/>
      </top>
      <bottom style="double">
        <color indexed="63"/>
      </bottom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true">
      <alignment wrapText="true"/>
    </xf>
    <xf numFmtId="0" fontId="2" fillId="3" borderId="8" xfId="0" applyFill="true" applyBorder="true" applyFont="true">
      <alignment wrapText="true"/>
    </xf>
    <xf numFmtId="0" fontId="3" fillId="0" borderId="8" xfId="0" applyBorder="true" applyFont="true">
      <alignment wrapText="true"/>
    </xf>
    <xf numFmtId="0" fontId="4" fillId="3" borderId="8" xfId="0" applyFill="true" applyBorder="true" applyFont="true">
      <alignment wrapText="true"/>
    </xf>
    <xf numFmtId="0" fontId="5" fillId="0" borderId="8" xfId="0" applyBorder="true" applyFont="true">
      <alignment wrapText="true"/>
    </xf>
    <xf numFmtId="0" fontId="6" fillId="3" borderId="8" xfId="0" applyFill="true" applyBorder="true" applyFont="true">
      <alignment wrapText="true"/>
    </xf>
    <xf numFmtId="0" fontId="7" fillId="0" borderId="8" xfId="0" applyBorder="true" applyFont="true">
      <alignment wrapText="true"/>
    </xf>
    <xf numFmtId="0" fontId="8" fillId="3" borderId="16" xfId="0" applyFill="true" applyBorder="true" applyFont="true">
      <alignment wrapText="true"/>
    </xf>
    <xf numFmtId="0" fontId="9" fillId="0" borderId="20" xfId="0" applyBorder="true" applyFont="true">
      <alignment wrapText="true"/>
    </xf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0" fillId="0" borderId="0" xfId="0">
      <alignment horizontal="left"/>
    </xf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>
      <alignment horizontal="right"/>
    </xf>
    <xf numFmtId="0" fontId="31" fillId="0" borderId="0" xfId="0" applyFont="true">
      <alignment horizontal="right"/>
    </xf>
    <xf numFmtId="0" fontId="32" fillId="0" borderId="0" xfId="0" applyFont="true">
      <alignment horizontal="right"/>
    </xf>
    <xf numFmtId="0" fontId="33" fillId="0" borderId="0" xfId="0" applyFont="true">
      <alignment horizontal="right"/>
    </xf>
    <xf numFmtId="0" fontId="34" fillId="0" borderId="0" xfId="0" applyFont="true">
      <alignment horizontal="right"/>
    </xf>
    <xf numFmtId="0" fontId="35" fillId="4" borderId="0" xfId="0" applyFill="true" applyFont="true">
      <alignment horizontal="center"/>
      <protection locked="false"/>
    </xf>
    <xf numFmtId="0" fontId="0" fillId="5" borderId="0" xfId="0" applyFill="true"/>
    <xf numFmtId="0" fontId="36" fillId="3" borderId="0" xfId="0" applyFill="true" applyFont="true"/>
    <xf numFmtId="0" fontId="0" fillId="0" borderId="0" xfId="0">
      <protection locked="false"/>
    </xf>
    <xf numFmtId="0" fontId="37" fillId="0" borderId="0" xfId="0" applyFont="true">
      <alignment horizontal="right"/>
    </xf>
    <xf numFmtId="0" fontId="38" fillId="0" borderId="0" xfId="0" applyFont="true">
      <alignment horizontal="right"/>
    </xf>
    <xf numFmtId="0" fontId="39" fillId="0" borderId="0" xfId="0" applyFont="true">
      <alignment horizontal="right"/>
    </xf>
    <xf numFmtId="0" fontId="40" fillId="0" borderId="0" xfId="0" applyFont="true">
      <alignment horizontal="right"/>
    </xf>
    <xf numFmtId="0" fontId="41" fillId="0" borderId="0" xfId="0" applyFont="true">
      <alignment horizontal="right"/>
    </xf>
    <xf numFmtId="0" fontId="42" fillId="0" borderId="0" xfId="0" applyFont="true">
      <alignment horizontal="right"/>
    </xf>
    <xf numFmtId="0" fontId="43" fillId="0" borderId="0" xfId="0" applyFont="true">
      <alignment horizontal="right"/>
    </xf>
    <xf numFmtId="0" fontId="44" fillId="0" borderId="0" xfId="0" applyFont="true">
      <alignment horizontal="right"/>
    </xf>
    <xf numFmtId="0" fontId="45" fillId="0" borderId="0" xfId="0" applyFont="true">
      <alignment horizontal="right"/>
    </xf>
    <xf numFmtId="0" fontId="46" fillId="0" borderId="0" xfId="0" applyFont="true">
      <alignment horizontal="right"/>
    </xf>
    <xf numFmtId="0" fontId="47" fillId="0" borderId="0" xfId="0" applyFont="true">
      <alignment horizontal="right"/>
    </xf>
    <xf numFmtId="0" fontId="48" fillId="0" borderId="0" xfId="0" applyFont="true">
      <alignment horizontal="right"/>
    </xf>
    <xf numFmtId="0" fontId="49" fillId="0" borderId="0" xfId="0" applyFont="true">
      <alignment horizontal="right"/>
    </xf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>
      <alignment horizontal="right"/>
    </xf>
    <xf numFmtId="0" fontId="70" fillId="0" borderId="0" xfId="0" applyFont="true">
      <alignment horizontal="right"/>
    </xf>
    <xf numFmtId="0" fontId="71" fillId="0" borderId="0" xfId="0" applyFont="true">
      <alignment horizontal="right"/>
    </xf>
    <xf numFmtId="0" fontId="72" fillId="0" borderId="0" xfId="0" applyFont="true">
      <alignment horizontal="right"/>
    </xf>
    <xf numFmtId="0" fontId="73" fillId="0" borderId="0" xfId="0" applyFont="true">
      <alignment horizontal="right"/>
    </xf>
    <xf numFmtId="0" fontId="74" fillId="0" borderId="0" xfId="0" applyFont="true">
      <alignment horizontal="right"/>
    </xf>
    <xf numFmtId="0" fontId="75" fillId="0" borderId="0" xfId="0" applyFont="true">
      <alignment horizontal="right"/>
    </xf>
    <xf numFmtId="0" fontId="76" fillId="0" borderId="0" xfId="0" applyFont="true">
      <alignment horizontal="right"/>
    </xf>
    <xf numFmtId="0" fontId="77" fillId="0" borderId="0" xfId="0" applyFont="true">
      <alignment horizontal="right"/>
    </xf>
    <xf numFmtId="0" fontId="78" fillId="0" borderId="0" xfId="0" applyFont="true">
      <alignment horizontal="right"/>
    </xf>
    <xf numFmtId="0" fontId="79" fillId="0" borderId="0" xfId="0" applyFont="true">
      <alignment horizontal="right"/>
    </xf>
    <xf numFmtId="0" fontId="80" fillId="0" borderId="0" xfId="0" applyFont="true">
      <alignment horizontal="right"/>
    </xf>
    <xf numFmtId="0" fontId="81" fillId="0" borderId="0" xfId="0" applyFont="true">
      <alignment horizontal="right"/>
    </xf>
    <xf numFmtId="0" fontId="82" fillId="0" borderId="0" xfId="0" applyFont="true">
      <alignment horizontal="right"/>
    </xf>
    <xf numFmtId="0" fontId="83" fillId="0" borderId="0" xfId="0" applyFont="true">
      <alignment horizontal="right"/>
    </xf>
    <xf numFmtId="0" fontId="84" fillId="0" borderId="0" xfId="0" applyFont="true">
      <alignment horizontal="right"/>
    </xf>
    <xf numFmtId="0" fontId="85" fillId="0" borderId="0" xfId="0" applyFont="true">
      <alignment horizontal="right"/>
    </xf>
    <xf numFmtId="0" fontId="86" fillId="0" borderId="0" xfId="0" applyFont="true">
      <alignment horizontal="right"/>
    </xf>
    <xf numFmtId="0" fontId="87" fillId="0" borderId="0" xfId="0" applyFont="true">
      <alignment horizontal="right"/>
    </xf>
    <xf numFmtId="0" fontId="88" fillId="0" borderId="0" xfId="0" applyFont="true">
      <alignment horizontal="right"/>
    </xf>
    <xf numFmtId="0" fontId="89" fillId="0" borderId="0" xfId="0" applyFont="true">
      <alignment horizontal="right"/>
    </xf>
    <xf numFmtId="0" fontId="90" fillId="0" borderId="0" xfId="0" applyFont="true">
      <alignment horizontal="right"/>
    </xf>
    <xf numFmtId="0" fontId="91" fillId="0" borderId="0" xfId="0" applyFont="true">
      <alignment horizontal="right"/>
    </xf>
    <xf numFmtId="0" fontId="92" fillId="0" borderId="0" xfId="0" applyFont="true">
      <alignment horizontal="right"/>
    </xf>
    <xf numFmtId="0" fontId="93" fillId="0" borderId="0" xfId="0" applyFont="true">
      <alignment horizontal="right"/>
    </xf>
    <xf numFmtId="0" fontId="94" fillId="0" borderId="0" xfId="0" applyFont="true">
      <alignment horizontal="right"/>
    </xf>
    <xf numFmtId="0" fontId="95" fillId="0" borderId="0" xfId="0" applyFont="true">
      <alignment horizontal="right"/>
    </xf>
    <xf numFmtId="0" fontId="96" fillId="0" borderId="0" xfId="0" applyFont="true">
      <alignment horizontal="right"/>
    </xf>
    <xf numFmtId="0" fontId="97" fillId="0" borderId="0" xfId="0" applyFont="true">
      <alignment horizontal="right"/>
    </xf>
    <xf numFmtId="0" fontId="98" fillId="0" borderId="0" xfId="0" applyFont="true">
      <alignment horizontal="right"/>
    </xf>
    <xf numFmtId="0" fontId="99" fillId="0" borderId="0" xfId="0" applyFont="true">
      <alignment horizontal="right"/>
    </xf>
    <xf numFmtId="0" fontId="100" fillId="0" borderId="0" xfId="0" applyFont="true">
      <alignment horizontal="right"/>
    </xf>
    <xf numFmtId="0" fontId="101" fillId="0" borderId="0" xfId="0" applyFont="true">
      <alignment horizontal="right"/>
    </xf>
    <xf numFmtId="0" fontId="102" fillId="0" borderId="0" xfId="0" applyFont="true">
      <alignment horizontal="right"/>
    </xf>
    <xf numFmtId="0" fontId="103" fillId="0" borderId="0" xfId="0" applyFont="true">
      <alignment horizontal="right"/>
    </xf>
    <xf numFmtId="0" fontId="104" fillId="0" borderId="0" xfId="0" applyFont="true">
      <alignment horizontal="right"/>
    </xf>
    <xf numFmtId="0" fontId="105" fillId="0" borderId="0" xfId="0" applyFont="true">
      <alignment horizontal="right"/>
    </xf>
    <xf numFmtId="0" fontId="106" fillId="0" borderId="0" xfId="0" applyFont="true">
      <alignment horizontal="right"/>
    </xf>
    <xf numFmtId="0" fontId="107" fillId="0" borderId="0" xfId="0" applyFont="true">
      <alignment horizontal="right"/>
    </xf>
    <xf numFmtId="0" fontId="108" fillId="0" borderId="0" xfId="0" applyFont="true">
      <alignment horizontal="right"/>
    </xf>
    <xf numFmtId="0" fontId="109" fillId="0" borderId="0" xfId="0" applyFont="true">
      <alignment horizontal="right"/>
    </xf>
    <xf numFmtId="0" fontId="110" fillId="0" borderId="0" xfId="0" applyFont="true">
      <alignment horizontal="right"/>
    </xf>
    <xf numFmtId="0" fontId="111" fillId="0" borderId="0" xfId="0" applyFont="true">
      <alignment horizontal="right"/>
    </xf>
    <xf numFmtId="0" fontId="112" fillId="0" borderId="0" xfId="0" applyFont="true">
      <alignment horizontal="right"/>
    </xf>
    <xf numFmtId="0" fontId="113" fillId="0" borderId="0" xfId="0" applyFont="true">
      <alignment horizontal="right"/>
    </xf>
    <xf numFmtId="0" fontId="114" fillId="0" borderId="0" xfId="0" applyFont="true">
      <alignment horizontal="right"/>
    </xf>
    <xf numFmtId="0" fontId="115" fillId="0" borderId="0" xfId="0" applyFont="true">
      <alignment horizontal="right"/>
    </xf>
    <xf numFmtId="0" fontId="116" fillId="0" borderId="0" xfId="0" applyFont="true">
      <alignment horizontal="right"/>
    </xf>
    <xf numFmtId="0" fontId="117" fillId="0" borderId="0" xfId="0" applyFont="true">
      <alignment horizontal="right"/>
    </xf>
    <xf numFmtId="0" fontId="118" fillId="0" borderId="0" xfId="0" applyFont="true">
      <alignment horizontal="right"/>
    </xf>
    <xf numFmtId="0" fontId="119" fillId="0" borderId="0" xfId="0" applyFont="true">
      <alignment horizontal="right"/>
    </xf>
    <xf numFmtId="0" fontId="120" fillId="0" borderId="0" xfId="0" applyFont="true">
      <alignment horizontal="righ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</cellXfs>
  <dxfs count="4">
    <dxf>
      <font>
        <color indexed="16"/>
      </font>
      <fill>
        <patternFill>
          <bgColor indexed="45"/>
        </patternFill>
      </fill>
    </dxf>
    <dxf>
      <font>
        <color indexed="16"/>
      </font>
      <fill>
        <patternFill>
          <bgColor indexed="45"/>
        </patternFill>
      </fill>
    </dxf>
    <dxf>
      <font>
        <color indexed="16"/>
      </font>
      <fill>
        <patternFill>
          <bgColor indexed="45"/>
        </patternFill>
      </fill>
    </dxf>
    <dxf>
      <font>
        <color indexed="16"/>
      </font>
      <fill>
        <patternFill>
          <bgColor indexed="45"/>
        </patternFill>
      </fill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0"/>
  <sheetViews>
    <sheetView workbookViewId="0" tabSelected="true"/>
  </sheetViews>
  <sheetFormatPr defaultRowHeight="15.0"/>
  <cols>
    <col min="1" max="1" width="120.0" customWidth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4">
      <c r="A4" t="s" s="4">
        <v>3</v>
      </c>
    </row>
    <row r="5">
      <c r="A5" t="s" s="5">
        <v>4</v>
      </c>
    </row>
    <row r="6">
      <c r="A6" t="s" s="6">
        <v>5</v>
      </c>
    </row>
    <row r="7">
      <c r="A7" t="s" s="7">
        <v>6</v>
      </c>
    </row>
    <row r="8">
      <c r="A8" t="s" s="8">
        <v>7</v>
      </c>
    </row>
    <row r="9">
      <c r="A9" t="s" s="9">
        <v>8</v>
      </c>
    </row>
    <row r="10"/>
  </sheetData>
  <sheetProtection password="DFB5" sheet="true" scenarios="true" objects="true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E17"/>
  <sheetViews>
    <sheetView workbookViewId="0">
      <pane xSplit="2.0" ySplit="5.0" state="frozen" topLeftCell="C6" activePane="bottomRight"/>
      <selection pane="bottomRight"/>
    </sheetView>
  </sheetViews>
  <sheetFormatPr defaultRowHeight="15.0"/>
  <cols>
    <col min="1" max="1" width="21.0" customWidth="true"/>
    <col min="2" max="2" width="61.0" customWidth="true"/>
    <col min="3" max="3" width="20.0" customWidth="true" hidden="true"/>
    <col min="4" max="4" width="21.0" customWidth="true"/>
    <col min="5" max="5" width="21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.0" customWidth="true"/>
    <col min="13" max="13" width="13.0" customWidth="true" style="39"/>
    <col min="14" max="14" width="13.0" customWidth="true" style="39"/>
    <col min="15" max="15" width="13.0" customWidth="true" style="39"/>
    <col min="16" max="16" width="13.0" customWidth="true" style="39"/>
    <col min="17" max="17" width="13.0" customWidth="true" style="39"/>
    <col min="18" max="18" width="13.0" customWidth="true" style="39"/>
    <col min="19" max="19" width="13.0" customWidth="true" style="39"/>
    <col min="20" max="20" width="13.0" customWidth="true" style="39"/>
    <col min="21" max="21" width="13.0" customWidth="true" style="39"/>
    <col min="22" max="22" width="13.0" customWidth="true" style="39"/>
    <col min="23" max="23" width="13.0" customWidth="true" style="39"/>
    <col min="24" max="24" width="13.0" customWidth="true" style="39"/>
    <col min="25" max="25" width="13.0" customWidth="true" style="39"/>
    <col min="26" max="26" width="13.0" customWidth="true" style="39"/>
    <col min="27" max="27" width="13.0" customWidth="true" style="39"/>
    <col min="28" max="28" width="13.0" customWidth="true" style="39"/>
    <col min="29" max="29" width="13.0" customWidth="true" style="39"/>
    <col min="30" max="30" width="13.0" customWidth="true" style="39"/>
    <col min="31" max="31" width="13.0" customWidth="true" style="39"/>
  </cols>
  <sheetData>
    <row r="1">
      <c r="A1" t="s" s="11">
        <v>9</v>
      </c>
      <c r="B1" s="12"/>
      <c r="C1" s="13"/>
      <c r="D1" s="14"/>
      <c r="E1" s="15"/>
      <c r="F1" s="16"/>
      <c r="G1" s="17"/>
      <c r="H1" s="18"/>
      <c r="I1" s="19"/>
      <c r="J1" s="20"/>
      <c r="K1" s="21"/>
      <c r="L1" s="22"/>
    </row>
    <row r="2">
      <c r="A2" t="s" s="24">
        <v>10</v>
      </c>
      <c r="B2" s="25"/>
      <c r="C2" t="s" s="26">
        <v>11</v>
      </c>
    </row>
    <row r="3">
      <c r="A3" t="s" s="28">
        <v>12</v>
      </c>
      <c r="B3" s="29"/>
      <c r="C3" s="30"/>
      <c r="I3" t="s" s="32">
        <v>13</v>
      </c>
      <c r="J3" s="33"/>
      <c r="K3" s="34"/>
      <c r="L3" s="35"/>
      <c r="M3" t="n" s="36">
        <v>9.0</v>
      </c>
    </row>
    <row r="4" ht="8.0" customHeight="true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>
      <c r="A5" t="s" s="38">
        <v>14</v>
      </c>
      <c r="B5" t="s" s="38">
        <v>15</v>
      </c>
      <c r="C5" t="s" s="38">
        <v>16</v>
      </c>
      <c r="D5" t="s" s="38">
        <v>17</v>
      </c>
      <c r="E5" t="s" s="38">
        <v>18</v>
      </c>
      <c r="F5" t="s" s="38">
        <v>19</v>
      </c>
      <c r="G5" t="s" s="38">
        <v>20</v>
      </c>
      <c r="H5" t="s" s="38">
        <v>21</v>
      </c>
      <c r="I5" t="s" s="38">
        <v>22</v>
      </c>
      <c r="J5" t="s" s="38">
        <v>23</v>
      </c>
      <c r="K5" t="s" s="38">
        <v>24</v>
      </c>
      <c r="L5" s="37"/>
      <c r="M5" t="n" s="38">
        <f>IF(M3&gt;=1,"輸送箱1の数量","")</f>
        <v>0.0</v>
      </c>
      <c r="N5" t="n" s="38">
        <f>IF(M3&gt;=2,"輸送箱2の数量","")</f>
        <v>0.0</v>
      </c>
      <c r="O5" t="n" s="38">
        <f>IF(M3&gt;=3,"輸送箱3の数量","")</f>
        <v>0.0</v>
      </c>
      <c r="P5" t="n" s="38">
        <f>IF(M3&gt;=4,"輸送箱4の数量","")</f>
        <v>0.0</v>
      </c>
      <c r="Q5" t="n" s="38">
        <f>IF(M3&gt;=5,"輸送箱5の数量","")</f>
        <v>0.0</v>
      </c>
      <c r="R5" t="n" s="38">
        <f>IF(M3&gt;=6,"輸送箱6の数量","")</f>
        <v>0.0</v>
      </c>
      <c r="S5" t="n" s="38">
        <f>IF(M3&gt;=7,"輸送箱7の数量","")</f>
        <v>0.0</v>
      </c>
      <c r="T5" t="n" s="38">
        <f>IF(M3&gt;=8,"輸送箱8の数量","")</f>
        <v>0.0</v>
      </c>
      <c r="U5" t="n" s="38">
        <f>IF(M3&gt;=9,"輸送箱9の数量","")</f>
        <v>0.0</v>
      </c>
      <c r="V5" t="n" s="38">
        <f>IF(M3&gt;=10,"輸送箱10の数量","")</f>
        <v>0.0</v>
      </c>
      <c r="W5" t="n" s="38">
        <f>IF(M3&gt;=11,"輸送箱11の数量","")</f>
        <v>0.0</v>
      </c>
      <c r="X5" t="n" s="38">
        <f>IF(M3&gt;=12,"輸送箱12の数量","")</f>
        <v>0.0</v>
      </c>
      <c r="Y5" t="n" s="38">
        <f>IF(M3&gt;=13,"輸送箱13の数量","")</f>
        <v>0.0</v>
      </c>
      <c r="Z5" t="n" s="38">
        <f>IF(M3&gt;=14,"輸送箱14の数量","")</f>
        <v>0.0</v>
      </c>
      <c r="AA5" t="n" s="38">
        <f>IF(M3&gt;=15,"輸送箱15の数量","")</f>
        <v>0.0</v>
      </c>
      <c r="AB5" t="n" s="38">
        <f>IF(M3&gt;=16,"輸送箱16の数量","")</f>
        <v>0.0</v>
      </c>
      <c r="AC5" t="n" s="38">
        <f>IF(M3&gt;=17,"輸送箱17の数量","")</f>
        <v>0.0</v>
      </c>
      <c r="AD5" t="n" s="38">
        <f>IF(M3&gt;=18,"輸送箱18の数量","")</f>
        <v>0.0</v>
      </c>
      <c r="AE5" t="n" s="38">
        <f>IF(M3&gt;=19,"輸送箱19の数量","")</f>
        <v>0.0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n">
        <v>5.0</v>
      </c>
      <c r="K6" t="n">
        <f>SUM(M6:INDEX(M6:XFD6,1,M3))</f>
        <v>0.0</v>
      </c>
      <c r="L6" s="37"/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30</v>
      </c>
      <c r="G7" t="s">
        <v>31</v>
      </c>
      <c r="H7" t="s">
        <v>32</v>
      </c>
      <c r="I7" t="s">
        <v>33</v>
      </c>
      <c r="J7" t="n">
        <v>5.0</v>
      </c>
      <c r="K7" t="n">
        <f>SUM(M7:INDEX(M7:XFD7,1,M3))</f>
        <v>0.0</v>
      </c>
      <c r="L7" s="37"/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30</v>
      </c>
      <c r="G8" t="s">
        <v>31</v>
      </c>
      <c r="H8" t="s">
        <v>32</v>
      </c>
      <c r="I8" t="s">
        <v>33</v>
      </c>
      <c r="J8" t="n">
        <v>1.0</v>
      </c>
      <c r="K8" t="n">
        <f>SUM(M8:INDEX(M8:XFD8,1,M3))</f>
        <v>0.0</v>
      </c>
      <c r="L8" s="37"/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30</v>
      </c>
      <c r="G9" t="s">
        <v>31</v>
      </c>
      <c r="H9" t="s">
        <v>32</v>
      </c>
      <c r="I9" t="s">
        <v>33</v>
      </c>
      <c r="J9" t="n">
        <v>30.0</v>
      </c>
      <c r="K9" t="n">
        <f>SUM(M9:INDEX(M9:XFD9,1,M3))</f>
        <v>0.0</v>
      </c>
      <c r="L9" s="37"/>
    </row>
    <row r="10" ht="8.0" customHeight="true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>
      <c r="A11" t="s" s="41">
        <v>49</v>
      </c>
      <c r="B11" s="42"/>
      <c r="C11" s="43"/>
      <c r="D11" s="44"/>
      <c r="E11" s="45"/>
      <c r="F11" s="46"/>
      <c r="G11" s="47"/>
      <c r="H11" s="48"/>
      <c r="I11" s="49"/>
      <c r="J11" s="50"/>
      <c r="K11" s="51"/>
      <c r="L11" s="52"/>
      <c r="M11" t="n" s="53">
        <f>IF(M3&gt;=1,"P1 - B1","")</f>
        <v>0.0</v>
      </c>
      <c r="N11" t="n" s="54">
        <f>IF(M3&gt;=2,"P1 - B2","")</f>
        <v>0.0</v>
      </c>
      <c r="O11" t="n" s="55">
        <f>IF(M3&gt;=3,"P1 - B3","")</f>
        <v>0.0</v>
      </c>
      <c r="P11" t="n" s="56">
        <f>IF(M3&gt;=4,"P1 - B4","")</f>
        <v>0.0</v>
      </c>
      <c r="Q11" t="n" s="57">
        <f>IF(M3&gt;=5,"P1 - B5","")</f>
        <v>0.0</v>
      </c>
      <c r="R11" t="n" s="58">
        <f>IF(M3&gt;=6,"P1 - B6","")</f>
        <v>0.0</v>
      </c>
      <c r="S11" t="n" s="59">
        <f>IF(M3&gt;=7,"P1 - B7","")</f>
        <v>0.0</v>
      </c>
      <c r="T11" t="n" s="60">
        <f>IF(M3&gt;=8,"P1 - B8","")</f>
        <v>0.0</v>
      </c>
      <c r="U11" t="n" s="61">
        <f>IF(M3&gt;=9,"P1 - B9","")</f>
        <v>0.0</v>
      </c>
      <c r="V11" t="n" s="62">
        <f>IF(M3&gt;=10,"P1 - B10","")</f>
        <v>0.0</v>
      </c>
      <c r="W11" t="n" s="63">
        <f>IF(M3&gt;=11,"P1 - B11","")</f>
        <v>0.0</v>
      </c>
      <c r="X11" t="n" s="64">
        <f>IF(M3&gt;=12,"P1 - B12","")</f>
        <v>0.0</v>
      </c>
      <c r="Y11" t="n" s="65">
        <f>IF(M3&gt;=13,"P1 - B13","")</f>
        <v>0.0</v>
      </c>
      <c r="Z11" t="n" s="66">
        <f>IF(M3&gt;=14,"P1 - B14","")</f>
        <v>0.0</v>
      </c>
      <c r="AA11" t="n" s="67">
        <f>IF(M3&gt;=15,"P1 - B15","")</f>
        <v>0.0</v>
      </c>
      <c r="AB11" t="n" s="68">
        <f>IF(M3&gt;=16,"P1 - B16","")</f>
        <v>0.0</v>
      </c>
      <c r="AC11" t="n" s="69">
        <f>IF(M3&gt;=17,"P1 - B17","")</f>
        <v>0.0</v>
      </c>
      <c r="AD11" t="n" s="70">
        <f>IF(M3&gt;=18,"P1 - B18","")</f>
        <v>0.0</v>
      </c>
      <c r="AE11" t="n" s="71">
        <f>IF(M3&gt;=19,"P1 - B19","")</f>
        <v>0.0</v>
      </c>
    </row>
    <row r="12">
      <c r="A12" t="s" s="73">
        <v>50</v>
      </c>
      <c r="B12" s="74"/>
      <c r="C12" s="75"/>
      <c r="D12" s="76"/>
      <c r="E12" s="77"/>
      <c r="F12" s="78"/>
      <c r="G12" s="79"/>
      <c r="H12" s="80"/>
      <c r="I12" s="81"/>
      <c r="J12" s="82"/>
      <c r="K12" s="83"/>
      <c r="L12" s="84"/>
    </row>
    <row r="13">
      <c r="A13" t="s" s="86">
        <v>51</v>
      </c>
      <c r="B13" s="87"/>
      <c r="C13" s="88"/>
      <c r="D13" s="89"/>
      <c r="E13" s="90"/>
      <c r="F13" s="91"/>
      <c r="G13" s="92"/>
      <c r="H13" s="93"/>
      <c r="I13" s="94"/>
      <c r="J13" s="95"/>
      <c r="K13" s="96"/>
      <c r="L13" s="97"/>
    </row>
    <row r="14">
      <c r="A14" t="s" s="99">
        <v>52</v>
      </c>
      <c r="B14" s="100"/>
      <c r="C14" s="101"/>
      <c r="D14" s="102"/>
      <c r="E14" s="103"/>
      <c r="F14" s="104"/>
      <c r="G14" s="105"/>
      <c r="H14" s="106"/>
      <c r="I14" s="107"/>
      <c r="J14" s="108"/>
      <c r="K14" s="109"/>
      <c r="L14" s="110"/>
    </row>
    <row r="15">
      <c r="A15" t="s" s="112">
        <v>53</v>
      </c>
      <c r="B15" s="113"/>
      <c r="C15" s="114"/>
      <c r="D15" s="115"/>
      <c r="E15" s="116"/>
      <c r="F15" s="117"/>
      <c r="G15" s="118"/>
      <c r="H15" s="119"/>
      <c r="I15" s="120"/>
      <c r="J15" s="121"/>
      <c r="K15" s="122"/>
      <c r="L15" s="123"/>
    </row>
    <row r="16" ht="8.0" customHeight="true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/>
  </sheetData>
  <sheetProtection sheet="true" password="DFB5" selectLockedCells="false" selectUnlockedCells="false" formatCells="false" formatColumns="false" formatRows="false" insertColumns="true" insertRows="true" insertHyperlinks="true" deleteColumns="true" deleteRows="true" sort="true" autoFilter="true" pivotTables="true" objects="true" scenarios="true"/>
  <mergeCells count="12">
    <mergeCell ref="A1:L1"/>
    <mergeCell ref="A2:B2"/>
    <mergeCell ref="A3:C3"/>
    <mergeCell ref="I3:L3"/>
    <mergeCell ref="A4:L4"/>
    <mergeCell ref="A10:AE10"/>
    <mergeCell ref="A11:L11"/>
    <mergeCell ref="A12:L12"/>
    <mergeCell ref="A13:L13"/>
    <mergeCell ref="A14:L14"/>
    <mergeCell ref="A15:L15"/>
    <mergeCell ref="A16:AE16"/>
  </mergeCells>
  <conditionalFormatting sqref="K6">
    <cfRule type="expression" dxfId="0" priority="1">
      <formula>OR((J6 &lt;&gt; K6), (INT(J6) &lt;&gt; J6))</formula>
    </cfRule>
  </conditionalFormatting>
  <conditionalFormatting sqref="K7">
    <cfRule type="expression" dxfId="1" priority="2">
      <formula>OR((J7 &lt;&gt; K7), (INT(J7) &lt;&gt; J7))</formula>
    </cfRule>
  </conditionalFormatting>
  <conditionalFormatting sqref="K8">
    <cfRule type="expression" dxfId="2" priority="3">
      <formula>OR((J8 &lt;&gt; K8), (INT(J8) &lt;&gt; J8))</formula>
    </cfRule>
  </conditionalFormatting>
  <conditionalFormatting sqref="K9">
    <cfRule type="expression" dxfId="3" priority="4">
      <formula>OR((J9 &lt;&gt; K9), (INT(J9) &lt;&gt; J9))</formula>
    </cfRule>
  </conditionalFormatting>
  <dataValidations count="3">
    <dataValidation type="whole" operator="between" sqref="M3" allowBlank="true" errorStyle="stop" showErrorMessage="true" errorTitle="検証エラー" error="1～19の整数を入力してください">
      <formula1>1</formula1>
      <formula2>19</formula2>
    </dataValidation>
    <dataValidation type="whole" operator="greaterThanOrEqual" sqref="M6:M10 N6:N10 O6:O10 P6:P10 Q6:Q10 R6:R10 S6:S10 T6:T10 U6:U10 V6:V10 W6:W10 X6:X10 Y6:Y10 Z6:Z10 AA6:AA10 AB6:AB10 AC6:AC10 AD6:AD10 AE6:AE10" allowBlank="true" errorStyle="stop" showErrorMessage="true" errorTitle="検証エラー" error="0以上の整数を入力してください">
      <formula1>0</formula1>
    </dataValidation>
    <dataValidation type="decimal" operator="greaterThan" sqref="M12:M15 N12:N15 O12:O15 P12:P15 Q12:Q15 R12:R15 S12:S15 T12:T15 U12:U15 V12:V15 W12:W15 X12:X15 Y12:Y15 Z12:Z15 AA12:AA15 AB12:AB15 AC12:AC15 AD12:AD15 AE12:AE15" allowBlank="true" errorStyle="stop" showErrorMessage="true" errorTitle="検証エラー" error="0より大きな数字を入力してください">
      <formula1>0.0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>
      <c r="A1" t="s" s="124">
        <v>54</v>
      </c>
      <c r="B1" t="s" s="125">
        <v>55</v>
      </c>
    </row>
    <row r="2">
      <c r="A2" t="s" s="126">
        <v>56</v>
      </c>
      <c r="B2" t="s" s="127">
        <v>57</v>
      </c>
    </row>
    <row r="3">
      <c r="A3" t="s" s="128">
        <v>58</v>
      </c>
      <c r="B3" t="s" s="129">
        <v>59</v>
      </c>
    </row>
    <row r="4">
      <c r="A4" t="s" s="130">
        <v>60</v>
      </c>
      <c r="B4" t="s" s="131">
        <v>61</v>
      </c>
    </row>
    <row r="5">
      <c r="A5" t="s" s="132">
        <v>62</v>
      </c>
      <c r="B5" t="n" s="133">
        <v>1.0</v>
      </c>
    </row>
    <row r="6"/>
  </sheetData>
  <sheetProtection password="DFB5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2026-09-02T10:50:30Z</dcterms:created>
  <dc:creator>Apache POI</dc:creator>
</cp:coreProperties>
</file>